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0" windowHeight="10080"/>
  </bookViews>
  <sheets>
    <sheet name="GFK-量价对标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<sst xmlns="http://schemas.openxmlformats.org/spreadsheetml/2006/main" count="15" uniqueCount="15">
  <si>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苹果销量</t>
  </si>
  <si>
    <t>量控比</t>
  </si>
  <si>
    <t>华为销量</t>
  </si>
  <si>
    <t>价控比</t>
  </si>
  <si>
    <t>三星销量</t>
  </si>
  <si>
    <t>苹果价格</t>
  </si>
  <si>
    <t>苹果</t>
  </si>
  <si>
    <t>华为</t>
  </si>
  <si>
    <t>三星</t>
  </si>
  <si>
    <t>华为价格</t>
  </si>
  <si>
    <t>最大降幅</t>
  </si>
  <si>
    <t>三星价格</t>
  </si>
  <si>
    <t>上市价</t>
  </si>
  <si>
    <t>平销价</t>
  </si>
  <si>
    <t>大促价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</si>
</sst>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_ [$€-2]\ * #,##0_ ;_ [$€-2]\ * \-#,##0_ ;_ [$€-2]\ * &quot;-&quot;??_ ;_ @_ "/>
    <numFmt numFmtId="178" formatCode="0_ "/>
  </numFmts>
  <fonts count="26">
    <font>
      <sz val="11"/>
      <color theme="1"/>
      <name val="等线"/>
      <charset val="134"/>
      <scheme val="minor"/>
    </font>
    <font>
      <sz val="11"/>
      <color indexed="8"/>
      <name val="Calibri"/>
      <charset val="134"/>
    </font>
    <font>
      <sz val="11"/>
      <color theme="0"/>
      <name val="Calibri"/>
      <charset val="134"/>
    </font>
    <font>
      <b/>
      <sz val="11"/>
      <color theme="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 tint="0.799981688894314"/>
      </patternFill>
    </fill>
    <fill>
      <patternFill patternType="solid">
        <fgColor theme="5"/>
        <bgColor theme="4" tint="0.79998168889431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1" fillId="0" borderId="0"/>
  </cellStyleXfs>
  <cellXfs count="18">
    <xf numFmtId="0" fontId="0" fillId="0" borderId="0" xfId="0">
      <alignment vertical="center"/>
    </xf>
    <xf numFmtId="0" fontId="1" fillId="0" borderId="0" xfId="49"/>
    <xf numFmtId="0" fontId="2" fillId="2" borderId="1" xfId="49" applyFont="1" applyFill="1" applyBorder="1"/>
    <xf numFmtId="0" fontId="3" fillId="3" borderId="1" xfId="49" applyFont="1" applyFill="1" applyBorder="1" applyAlignment="1">
      <alignment horizontal="center"/>
    </xf>
    <xf numFmtId="0" fontId="3" fillId="4" borderId="1" xfId="49" applyFont="1" applyFill="1" applyBorder="1" applyAlignment="1">
      <alignment horizontal="center"/>
    </xf>
    <xf numFmtId="0" fontId="4" fillId="0" borderId="1" xfId="49" applyFont="1" applyBorder="1"/>
    <xf numFmtId="176" fontId="1" fillId="0" borderId="1" xfId="1" applyNumberFormat="1" applyFont="1" applyBorder="1" applyAlignment="1"/>
    <xf numFmtId="177" fontId="1" fillId="0" borderId="1" xfId="49" applyNumberFormat="1" applyBorder="1"/>
    <xf numFmtId="0" fontId="4" fillId="0" borderId="0" xfId="49" applyFont="1" applyAlignment="1">
      <alignment horizontal="center"/>
    </xf>
    <xf numFmtId="0" fontId="1" fillId="5" borderId="1" xfId="49" applyFill="1" applyBorder="1"/>
    <xf numFmtId="0" fontId="5" fillId="5" borderId="1" xfId="49" applyFont="1" applyFill="1" applyBorder="1" applyAlignment="1">
      <alignment horizontal="center"/>
    </xf>
    <xf numFmtId="178" fontId="1" fillId="0" borderId="0" xfId="49" applyNumberFormat="1"/>
    <xf numFmtId="9" fontId="1" fillId="0" borderId="1" xfId="3" applyFont="1" applyBorder="1" applyAlignment="1"/>
    <xf numFmtId="0" fontId="1" fillId="5" borderId="1" xfId="49" applyFill="1" applyBorder="1" applyAlignment="1">
      <alignment horizontal="center"/>
    </xf>
    <xf numFmtId="0" fontId="4" fillId="5" borderId="1" xfId="49" applyFont="1" applyFill="1" applyBorder="1" applyAlignment="1">
      <alignment horizontal="center"/>
    </xf>
    <xf numFmtId="0" fontId="4" fillId="0" borderId="1" xfId="49" applyFont="1" applyBorder="1" applyAlignment="1">
      <alignment horizontal="center"/>
    </xf>
    <xf numFmtId="9" fontId="1" fillId="0" borderId="1" xfId="3" applyFont="1" applyBorder="1" applyAlignment="1">
      <alignment horizontal="center"/>
    </xf>
    <xf numFmtId="177" fontId="1" fillId="0" borderId="1" xfId="49" applyNumberFormat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'GFK-量价对标'!$B$2</c:f>
              <c:strCache>
                <c:ptCount val="1"/>
                <c:pt idx="0">
                  <c:v>苹果销量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'GFK-量价对标'!$C$1:$J$1</c:f>
              <c:numCache>
                <c:formatCode>General</c:formatCode>
                <c:ptCount val="8"/>
                <c:pt idx="0">
                  <c:v>2305</c:v>
                </c:pt>
                <c:pt idx="1">
                  <c:v>2306</c:v>
                </c:pt>
                <c:pt idx="2">
                  <c:v>2307</c:v>
                </c:pt>
                <c:pt idx="3">
                  <c:v>2308</c:v>
                </c:pt>
                <c:pt idx="4">
                  <c:v>2309</c:v>
                </c:pt>
                <c:pt idx="5">
                  <c:v>2310</c:v>
                </c:pt>
                <c:pt idx="6">
                  <c:v>2311</c:v>
                </c:pt>
                <c:pt idx="7">
                  <c:v>2312</c:v>
                </c:pt>
              </c:numCache>
            </c:numRef>
          </c:cat>
          <c:val>
            <c:numRef>
              <c:f>'GFK-量价对标'!$C$2:$J$2</c:f>
              <c:numCache>
                <c:formatCode>_ * #,##0_ ;_ * \-#,##0_ ;_ * "-"??_ ;_ @_ </c:formatCode>
                <c:ptCount val="8"/>
                <c:pt idx="0">
                  <c:v>27.15328</c:v>
                </c:pt>
                <c:pt idx="1">
                  <c:v>300.150985</c:v>
                </c:pt>
                <c:pt idx="2">
                  <c:v>3137.62492</c:v>
                </c:pt>
                <c:pt idx="3">
                  <c:v>2407.411251</c:v>
                </c:pt>
                <c:pt idx="4">
                  <c:v>2329.45772</c:v>
                </c:pt>
                <c:pt idx="5">
                  <c:v>1973</c:v>
                </c:pt>
                <c:pt idx="6">
                  <c:v>13738.95853575</c:v>
                </c:pt>
                <c:pt idx="7">
                  <c:v>4851.298355</c:v>
                </c:pt>
              </c:numCache>
            </c:numRef>
          </c:val>
        </c:ser>
        <c:ser>
          <c:idx val="1"/>
          <c:order val="1"/>
          <c:tx>
            <c:strRef>
              <c:f>'GFK-量价对标'!$B$3</c:f>
              <c:strCache>
                <c:ptCount val="1"/>
                <c:pt idx="0">
                  <c:v>华为销量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delete val="1"/>
          </c:dLbls>
          <c:cat>
            <c:numRef>
              <c:f>'GFK-量价对标'!$C$1:$J$1</c:f>
              <c:numCache>
                <c:formatCode>General</c:formatCode>
                <c:ptCount val="8"/>
                <c:pt idx="0">
                  <c:v>2305</c:v>
                </c:pt>
                <c:pt idx="1">
                  <c:v>2306</c:v>
                </c:pt>
                <c:pt idx="2">
                  <c:v>2307</c:v>
                </c:pt>
                <c:pt idx="3">
                  <c:v>2308</c:v>
                </c:pt>
                <c:pt idx="4">
                  <c:v>2309</c:v>
                </c:pt>
                <c:pt idx="5">
                  <c:v>2310</c:v>
                </c:pt>
                <c:pt idx="6">
                  <c:v>2311</c:v>
                </c:pt>
                <c:pt idx="7">
                  <c:v>2312</c:v>
                </c:pt>
              </c:numCache>
            </c:numRef>
          </c:cat>
          <c:val>
            <c:numRef>
              <c:f>'GFK-量价对标'!$C$3:$J$3</c:f>
              <c:numCache>
                <c:formatCode>_ * #,##0_ ;_ * \-#,##0_ ;_ * "-"??_ ;_ @_ </c:formatCode>
                <c:ptCount val="8"/>
                <c:pt idx="0">
                  <c:v>69.53</c:v>
                </c:pt>
                <c:pt idx="1">
                  <c:v>162.27</c:v>
                </c:pt>
                <c:pt idx="2">
                  <c:v>1045.54</c:v>
                </c:pt>
                <c:pt idx="3">
                  <c:v>1359.443175</c:v>
                </c:pt>
                <c:pt idx="4">
                  <c:v>2568.522325</c:v>
                </c:pt>
                <c:pt idx="5">
                  <c:v>2094.47</c:v>
                </c:pt>
                <c:pt idx="6">
                  <c:v>5121.260275</c:v>
                </c:pt>
                <c:pt idx="7">
                  <c:v>4411.137325</c:v>
                </c:pt>
              </c:numCache>
            </c:numRef>
          </c:val>
        </c:ser>
        <c:ser>
          <c:idx val="2"/>
          <c:order val="2"/>
          <c:tx>
            <c:strRef>
              <c:f>'GFK-量价对标'!$B$4</c:f>
              <c:strCache>
                <c:ptCount val="1"/>
                <c:pt idx="0">
                  <c:v>三星销量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'GFK-量价对标'!$C$1:$J$1</c:f>
              <c:numCache>
                <c:formatCode>General</c:formatCode>
                <c:ptCount val="8"/>
                <c:pt idx="0">
                  <c:v>2305</c:v>
                </c:pt>
                <c:pt idx="1">
                  <c:v>2306</c:v>
                </c:pt>
                <c:pt idx="2">
                  <c:v>2307</c:v>
                </c:pt>
                <c:pt idx="3">
                  <c:v>2308</c:v>
                </c:pt>
                <c:pt idx="4">
                  <c:v>2309</c:v>
                </c:pt>
                <c:pt idx="5">
                  <c:v>2310</c:v>
                </c:pt>
                <c:pt idx="6">
                  <c:v>2311</c:v>
                </c:pt>
                <c:pt idx="7">
                  <c:v>2312</c:v>
                </c:pt>
              </c:numCache>
            </c:numRef>
          </c:cat>
          <c:val>
            <c:numRef>
              <c:f>'GFK-量价对标'!$C$4:$J$4</c:f>
              <c:numCache>
                <c:formatCode>_ * #,##0_ ;_ * \-#,##0_ ;_ * "-"??_ ;_ @_ </c:formatCode>
                <c:ptCount val="8"/>
                <c:pt idx="0">
                  <c:v>4</c:v>
                </c:pt>
                <c:pt idx="1">
                  <c:v>206</c:v>
                </c:pt>
                <c:pt idx="2">
                  <c:v>597</c:v>
                </c:pt>
                <c:pt idx="3">
                  <c:v>743.947325</c:v>
                </c:pt>
                <c:pt idx="4">
                  <c:v>1203.02465</c:v>
                </c:pt>
                <c:pt idx="5">
                  <c:v>870.89</c:v>
                </c:pt>
                <c:pt idx="6">
                  <c:v>1670.39632175</c:v>
                </c:pt>
                <c:pt idx="7">
                  <c:v>1491.9636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6527696"/>
        <c:axId val="756529496"/>
      </c:barChart>
      <c:lineChart>
        <c:grouping val="standard"/>
        <c:varyColors val="0"/>
        <c:ser>
          <c:idx val="3"/>
          <c:order val="3"/>
          <c:tx>
            <c:strRef>
              <c:f>'GFK-量价对标'!$B$5</c:f>
              <c:strCache>
                <c:ptCount val="1"/>
                <c:pt idx="0">
                  <c:v>苹果价格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'GFK-量价对标'!$C$1:$J$1</c:f>
              <c:numCache>
                <c:formatCode>General</c:formatCode>
                <c:ptCount val="8"/>
                <c:pt idx="0">
                  <c:v>2305</c:v>
                </c:pt>
                <c:pt idx="1">
                  <c:v>2306</c:v>
                </c:pt>
                <c:pt idx="2">
                  <c:v>2307</c:v>
                </c:pt>
                <c:pt idx="3">
                  <c:v>2308</c:v>
                </c:pt>
                <c:pt idx="4">
                  <c:v>2309</c:v>
                </c:pt>
                <c:pt idx="5">
                  <c:v>2310</c:v>
                </c:pt>
                <c:pt idx="6">
                  <c:v>2311</c:v>
                </c:pt>
                <c:pt idx="7">
                  <c:v>2312</c:v>
                </c:pt>
              </c:numCache>
            </c:numRef>
          </c:cat>
          <c:val>
            <c:numRef>
              <c:f>'GFK-量价对标'!$C$5:$J$5</c:f>
              <c:numCache>
                <c:formatCode>_ [$€-2]\ * #,##0_ ;_ [$€-2]\ * \-#,##0_ ;_ [$€-2]\ * "-"??_ ;_ @_ </c:formatCode>
                <c:ptCount val="8"/>
                <c:pt idx="0">
                  <c:v>1499</c:v>
                </c:pt>
                <c:pt idx="1">
                  <c:v>1449</c:v>
                </c:pt>
                <c:pt idx="2">
                  <c:v>1449</c:v>
                </c:pt>
                <c:pt idx="3">
                  <c:v>1299</c:v>
                </c:pt>
                <c:pt idx="4">
                  <c:v>1299</c:v>
                </c:pt>
                <c:pt idx="5">
                  <c:v>1199</c:v>
                </c:pt>
                <c:pt idx="6">
                  <c:v>1099</c:v>
                </c:pt>
                <c:pt idx="7">
                  <c:v>1199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'GFK-量价对标'!$B$6</c:f>
              <c:strCache>
                <c:ptCount val="1"/>
                <c:pt idx="0">
                  <c:v>华为价格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'GFK-量价对标'!$C$1:$J$1</c:f>
              <c:numCache>
                <c:formatCode>General</c:formatCode>
                <c:ptCount val="8"/>
                <c:pt idx="0">
                  <c:v>2305</c:v>
                </c:pt>
                <c:pt idx="1">
                  <c:v>2306</c:v>
                </c:pt>
                <c:pt idx="2">
                  <c:v>2307</c:v>
                </c:pt>
                <c:pt idx="3">
                  <c:v>2308</c:v>
                </c:pt>
                <c:pt idx="4">
                  <c:v>2309</c:v>
                </c:pt>
                <c:pt idx="5">
                  <c:v>2310</c:v>
                </c:pt>
                <c:pt idx="6">
                  <c:v>2311</c:v>
                </c:pt>
                <c:pt idx="7">
                  <c:v>2312</c:v>
                </c:pt>
              </c:numCache>
            </c:numRef>
          </c:cat>
          <c:val>
            <c:numRef>
              <c:f>'GFK-量价对标'!$C$6:$J$6</c:f>
              <c:numCache>
                <c:formatCode>_ [$€-2]\ * #,##0_ ;_ [$€-2]\ * \-#,##0_ ;_ [$€-2]\ * "-"??_ ;_ @_ </c:formatCode>
                <c:ptCount val="8"/>
                <c:pt idx="0">
                  <c:v>1299</c:v>
                </c:pt>
                <c:pt idx="1">
                  <c:v>1299</c:v>
                </c:pt>
                <c:pt idx="2">
                  <c:v>1099</c:v>
                </c:pt>
                <c:pt idx="3">
                  <c:v>1099</c:v>
                </c:pt>
                <c:pt idx="4">
                  <c:v>1099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'GFK-量价对标'!$B$7</c:f>
              <c:strCache>
                <c:ptCount val="1"/>
                <c:pt idx="0">
                  <c:v>三星价格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'GFK-量价对标'!$C$1:$J$1</c:f>
              <c:numCache>
                <c:formatCode>General</c:formatCode>
                <c:ptCount val="8"/>
                <c:pt idx="0">
                  <c:v>2305</c:v>
                </c:pt>
                <c:pt idx="1">
                  <c:v>2306</c:v>
                </c:pt>
                <c:pt idx="2">
                  <c:v>2307</c:v>
                </c:pt>
                <c:pt idx="3">
                  <c:v>2308</c:v>
                </c:pt>
                <c:pt idx="4">
                  <c:v>2309</c:v>
                </c:pt>
                <c:pt idx="5">
                  <c:v>2310</c:v>
                </c:pt>
                <c:pt idx="6">
                  <c:v>2311</c:v>
                </c:pt>
                <c:pt idx="7">
                  <c:v>2312</c:v>
                </c:pt>
              </c:numCache>
            </c:numRef>
          </c:cat>
          <c:val>
            <c:numRef>
              <c:f>'GFK-量价对标'!$C$7:$J$7</c:f>
              <c:numCache>
                <c:formatCode>_ [$€-2]\ * #,##0_ ;_ [$€-2]\ * \-#,##0_ ;_ [$€-2]\ * "-"??_ ;_ @_ </c:formatCode>
                <c:ptCount val="8"/>
                <c:pt idx="0">
                  <c:v>1599</c:v>
                </c:pt>
                <c:pt idx="1">
                  <c:v>1599</c:v>
                </c:pt>
                <c:pt idx="2">
                  <c:v>1499</c:v>
                </c:pt>
                <c:pt idx="3">
                  <c:v>1476.81042889</c:v>
                </c:pt>
                <c:pt idx="4">
                  <c:v>1477.60786232</c:v>
                </c:pt>
                <c:pt idx="5">
                  <c:v>1449</c:v>
                </c:pt>
                <c:pt idx="6">
                  <c:v>1199</c:v>
                </c:pt>
                <c:pt idx="7">
                  <c:v>1349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63010696"/>
        <c:axId val="763011416"/>
      </c:lineChart>
      <c:catAx>
        <c:axId val="75652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6529496"/>
        <c:crosses val="autoZero"/>
        <c:auto val="1"/>
        <c:lblAlgn val="ctr"/>
        <c:lblOffset val="100"/>
        <c:noMultiLvlLbl val="0"/>
      </c:catAx>
      <c:valAx>
        <c:axId val="756529496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6527696"/>
        <c:crosses val="autoZero"/>
        <c:crossBetween val="between"/>
      </c:valAx>
      <c:catAx>
        <c:axId val="7630106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3011416"/>
        <c:crosses val="autoZero"/>
        <c:auto val="1"/>
        <c:lblAlgn val="ctr"/>
        <c:lblOffset val="100"/>
        <c:noMultiLvlLbl val="0"/>
      </c:catAx>
      <c:valAx>
        <c:axId val="763011416"/>
        <c:scaling>
          <c:orientation val="minMax"/>
        </c:scaling>
        <c:delete val="0"/>
        <c:axPos val="r"/>
        <c:numFmt formatCode="_ [$€-2]\ * #,##0_ ;_ [$€-2]\ * \-#,##0_ ;_ [$€-2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301069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00b7d8-b29f-4178-8637-512d7cd2949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642935</xdr:colOff>
      <xdr:row>8</xdr:row>
      <xdr:rowOff>126999</xdr:rowOff>
    </xdr:from>
    <xdr:to>
      <xdr:col>10</xdr:col>
      <xdr:colOff>15874</xdr:colOff>
      <xdr:row>27</xdr:row>
      <xdr:rowOff>166688</xdr:rowOff>
    </xdr:to>
    <xdr:graphicFrame>
      <xdr:nvGraphicFramePr>
        <xdr:cNvPr id="4" name="图表 3"/>
        <xdr:cNvGraphicFramePr/>
      </xdr:nvGraphicFramePr>
      <xdr:xfrm>
        <a:off x="642620" y="1599565"/>
        <a:ext cx="7348220" cy="35388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9"/>
  <sheetViews>
    <sheetView tabSelected="1" zoomScale="90" zoomScaleNormal="90" topLeftCell="D1" workbookViewId="0">
      <selection activeCell="T14" sqref="T14"/>
    </sheetView>
  </sheetViews>
  <sheetFormatPr defaultColWidth="9" defaultRowHeight="14.5"/>
  <cols>
    <col min="1" max="1" width="11.75" style="1" customWidth="1"/>
    <col min="2" max="2" width="12.25" style="1" customWidth="1"/>
    <col min="3" max="10" width="10.0833333333333" style="1" customWidth="1"/>
    <col min="11" max="11" width="8.66666666666667" style="1"/>
    <col min="12" max="12" width="10.4166666666667" style="1" customWidth="1"/>
    <col min="13" max="15" width="10.0833333333333" style="1" customWidth="1"/>
    <col min="16" max="16384" width="8.66666666666667" style="1"/>
  </cols>
  <sheetData>
    <row r="1" spans="2:20">
      <c r="B1" s="2"/>
      <c r="C1" s="3">
        <v>2305</v>
      </c>
      <c r="D1" s="4">
        <v>2306</v>
      </c>
      <c r="E1" s="4">
        <v>2307</v>
      </c>
      <c r="F1" s="4">
        <v>2308</v>
      </c>
      <c r="G1" s="4">
        <v>2309</v>
      </c>
      <c r="H1" s="4">
        <v>2310</v>
      </c>
      <c r="I1" s="4">
        <v>2311</v>
      </c>
      <c r="J1" s="4">
        <v>2312</v>
      </c>
      <c r="K1" s="8"/>
      <c r="L1" s="9"/>
      <c r="M1" s="10">
        <v>2305</v>
      </c>
      <c r="N1" s="10">
        <v>2306</v>
      </c>
      <c r="O1" s="10">
        <v>2307</v>
      </c>
      <c r="P1" s="10">
        <v>2308</v>
      </c>
      <c r="Q1" s="10">
        <v>2309</v>
      </c>
      <c r="R1" s="10">
        <v>2310</v>
      </c>
      <c r="S1" s="10">
        <v>2311</v>
      </c>
      <c r="T1" s="10">
        <v>2312</v>
      </c>
    </row>
    <row r="2" spans="2:20">
      <c r="B2" s="5" t="s">
        <v>0</v>
      </c>
      <c r="C2" s="6">
        <v>27.15328</v>
      </c>
      <c r="D2" s="6">
        <v>300.150985</v>
      </c>
      <c r="E2" s="6">
        <v>3137.62492</v>
      </c>
      <c r="F2" s="6">
        <v>2407.411251</v>
      </c>
      <c r="G2" s="6">
        <v>2329.45772</v>
      </c>
      <c r="H2" s="6">
        <v>1973</v>
      </c>
      <c r="I2" s="6">
        <v>13738.95853575</v>
      </c>
      <c r="J2" s="6">
        <v>4851.298355</v>
      </c>
      <c r="K2" s="11"/>
      <c r="L2" s="5" t="s">
        <v>1</v>
      </c>
      <c r="M2" s="12">
        <f>C2/C3</f>
        <v>0.390526103840069</v>
      </c>
      <c r="N2" s="12">
        <f t="shared" ref="N2:T2" si="0">D2/D3</f>
        <v>1.84970102298638</v>
      </c>
      <c r="O2" s="12">
        <f t="shared" si="0"/>
        <v>3.00096114926258</v>
      </c>
      <c r="P2" s="12">
        <f t="shared" si="0"/>
        <v>1.77088038343346</v>
      </c>
      <c r="Q2" s="12">
        <f t="shared" si="0"/>
        <v>0.906925237646124</v>
      </c>
      <c r="R2" s="12">
        <f t="shared" si="0"/>
        <v>0.942004421166214</v>
      </c>
      <c r="S2" s="12">
        <f t="shared" si="0"/>
        <v>2.6827299918378</v>
      </c>
      <c r="T2" s="12">
        <f t="shared" si="0"/>
        <v>1.09978402338676</v>
      </c>
    </row>
    <row r="3" spans="2:20">
      <c r="B3" s="5" t="s">
        <v>2</v>
      </c>
      <c r="C3" s="6">
        <v>69.53</v>
      </c>
      <c r="D3" s="6">
        <v>162.27</v>
      </c>
      <c r="E3" s="6">
        <v>1045.54</v>
      </c>
      <c r="F3" s="6">
        <v>1359.443175</v>
      </c>
      <c r="G3" s="6">
        <v>2568.522325</v>
      </c>
      <c r="H3" s="6">
        <v>2094.47</v>
      </c>
      <c r="I3" s="6">
        <v>5121.260275</v>
      </c>
      <c r="J3" s="6">
        <v>4411.137325</v>
      </c>
      <c r="K3" s="11"/>
      <c r="L3" s="5" t="s">
        <v>3</v>
      </c>
      <c r="M3" s="12">
        <f>C5/C6</f>
        <v>1.15396458814473</v>
      </c>
      <c r="N3" s="12">
        <f t="shared" ref="N3:T3" si="1">D5/D6</f>
        <v>1.11547344110854</v>
      </c>
      <c r="O3" s="12">
        <f t="shared" si="1"/>
        <v>1.31847133757962</v>
      </c>
      <c r="P3" s="12">
        <f t="shared" si="1"/>
        <v>1.18198362147407</v>
      </c>
      <c r="Q3" s="12">
        <f t="shared" si="1"/>
        <v>1.18198362147407</v>
      </c>
      <c r="R3" s="12">
        <f t="shared" si="1"/>
        <v>1.2002002002002</v>
      </c>
      <c r="S3" s="12">
        <f t="shared" si="1"/>
        <v>1.1001001001001</v>
      </c>
      <c r="T3" s="12">
        <f t="shared" si="1"/>
        <v>1.2002002002002</v>
      </c>
    </row>
    <row r="4" spans="2:11">
      <c r="B4" s="5" t="s">
        <v>4</v>
      </c>
      <c r="C4" s="6">
        <v>4</v>
      </c>
      <c r="D4" s="6">
        <v>206</v>
      </c>
      <c r="E4" s="6">
        <v>597</v>
      </c>
      <c r="F4" s="6">
        <v>743.947325</v>
      </c>
      <c r="G4" s="6">
        <v>1203.02465</v>
      </c>
      <c r="H4" s="6">
        <v>870.89</v>
      </c>
      <c r="I4" s="6">
        <v>1670.39632175</v>
      </c>
      <c r="J4" s="6">
        <v>1491.9636</v>
      </c>
      <c r="K4" s="11"/>
    </row>
    <row r="5" spans="2:15">
      <c r="B5" s="5" t="s">
        <v>5</v>
      </c>
      <c r="C5" s="7">
        <v>1499</v>
      </c>
      <c r="D5" s="7">
        <v>1449</v>
      </c>
      <c r="E5" s="7">
        <v>1449</v>
      </c>
      <c r="F5" s="7">
        <v>1299</v>
      </c>
      <c r="G5" s="7">
        <v>1299</v>
      </c>
      <c r="H5" s="7">
        <v>1199</v>
      </c>
      <c r="I5" s="7">
        <v>1099</v>
      </c>
      <c r="J5" s="7">
        <v>1199</v>
      </c>
      <c r="L5" s="13"/>
      <c r="M5" s="14" t="s">
        <v>6</v>
      </c>
      <c r="N5" s="14" t="s">
        <v>7</v>
      </c>
      <c r="O5" s="14" t="s">
        <v>8</v>
      </c>
    </row>
    <row r="6" spans="2:15">
      <c r="B6" s="5" t="s">
        <v>9</v>
      </c>
      <c r="C6" s="7">
        <v>1299</v>
      </c>
      <c r="D6" s="7">
        <v>1299</v>
      </c>
      <c r="E6" s="7">
        <v>1099</v>
      </c>
      <c r="F6" s="7">
        <v>1099</v>
      </c>
      <c r="G6" s="7">
        <v>1099</v>
      </c>
      <c r="H6" s="7">
        <v>999</v>
      </c>
      <c r="I6" s="7">
        <v>999</v>
      </c>
      <c r="J6" s="7">
        <v>999</v>
      </c>
      <c r="L6" s="15" t="s">
        <v>10</v>
      </c>
      <c r="M6" s="16">
        <f>(M7-M9)/M7</f>
        <v>0.266844563042028</v>
      </c>
      <c r="N6" s="16">
        <f t="shared" ref="N6:O6" si="2">(N7-N9)/N7</f>
        <v>0.23094688221709</v>
      </c>
      <c r="O6" s="16">
        <f t="shared" si="2"/>
        <v>0.250156347717323</v>
      </c>
    </row>
    <row r="7" spans="2:15">
      <c r="B7" s="5" t="s">
        <v>11</v>
      </c>
      <c r="C7" s="7">
        <v>1599</v>
      </c>
      <c r="D7" s="7">
        <v>1599</v>
      </c>
      <c r="E7" s="7">
        <v>1499</v>
      </c>
      <c r="F7" s="7">
        <v>1476.81042889</v>
      </c>
      <c r="G7" s="7">
        <v>1477.60786232</v>
      </c>
      <c r="H7" s="7">
        <v>1449</v>
      </c>
      <c r="I7" s="7">
        <v>1199</v>
      </c>
      <c r="J7" s="7">
        <v>1349</v>
      </c>
      <c r="L7" s="15" t="s">
        <v>12</v>
      </c>
      <c r="M7" s="17">
        <v>1499</v>
      </c>
      <c r="N7" s="17">
        <v>1299</v>
      </c>
      <c r="O7" s="17">
        <v>1599</v>
      </c>
    </row>
    <row r="8" spans="12:15">
      <c r="L8" s="15" t="s">
        <v>13</v>
      </c>
      <c r="M8" s="17">
        <v>1299</v>
      </c>
      <c r="N8" s="17">
        <v>1099</v>
      </c>
      <c r="O8" s="17">
        <v>1499</v>
      </c>
    </row>
    <row r="9" spans="12:15">
      <c r="L9" s="15" t="s">
        <v>14</v>
      </c>
      <c r="M9" s="17">
        <v>1099</v>
      </c>
      <c r="N9" s="17">
        <v>999</v>
      </c>
      <c r="O9" s="17">
        <v>1199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GFK-量价对标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钟晴がTo be my own Higgins├</cp:lastModifiedBy>
  <dcterms:created xsi:type="dcterms:W3CDTF">2024-06-24T04:29:00Z</dcterms:created>
  <dcterms:modified xsi:type="dcterms:W3CDTF">2025-03-27T12:43:33Z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1592E09E578C431485FFC5C701C50EC7_12</vt:lpwstr>
  </property>
  <property fmtid="{D5CDD505-2E9C-101B-9397-08002B2CF9AE}" pid="3" name="KSOProductBuildVer">
    <vt:lpwstr>2052-12.1.0.20305</vt:lpwstr>
  </property>
</Properties>
</file>