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PSI管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<sst xmlns="http://schemas.openxmlformats.org/spreadsheetml/2006/main" count="58" uniqueCount="48">
  <si>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PSI管理表</t>
  </si>
  <si>
    <t>产品Model</t>
  </si>
  <si>
    <t>PSI 类型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</si>
  <si>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</si>
  <si>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</si>
  <si>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</si>
  <si>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</si>
  <si>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</si>
  <si>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</si>
  <si>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</si>
  <si>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</si>
  <si>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</si>
  <si>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</si>
  <si>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</si>
  <si>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</si>
  <si>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售价</t>
  </si>
  <si>
    <t>RRP</t>
  </si>
  <si>
    <t>XX产品</t>
  </si>
  <si>
    <t>Sell-In</t>
  </si>
  <si>
    <t>Sell-Out</t>
  </si>
  <si>
    <t>Inventory</t>
  </si>
  <si>
    <t>DOS</t>
  </si>
  <si>
    <t>*周度PSI
公式解析</t>
  </si>
  <si>
    <t>Sell-In指当周发货给客户的货物数量</t>
  </si>
  <si>
    <t>Sell-Out指当周客户终端销售的货物数量</t>
  </si>
  <si>
    <t>Inventory=当周SI减去SO的数量，加上上周末的库存数，表示渠道库存。</t>
  </si>
  <si>
    <t>DOS 指库存周转天数（按过去一周的流速，当前库存还能卖多少天），公式为 Iventory除以SO，乘以7。</t>
  </si>
  <si>
    <t>若涉及填写预测，销量需要根据RRP进行负相关波动。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</si>
  <si>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</si>
  <si>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</si>
  <si>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</si>
  <si>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</si>
  <si>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</si>
  <si>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</si>
  <si>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</si>
  <si>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</si>
  <si>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</si>
  <si>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</si>
  <si>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</si>
  <si>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</si>
  <si>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ASP</t>
  </si>
  <si>
    <r>
      <rPr>
        <sz val="11"/>
        <color theme="1"/>
        <rFont val="微软雅黑"/>
        <charset val="134"/>
      </rPr>
      <t>未来</t>
    </r>
    <r>
      <rPr>
        <sz val="11"/>
        <color rgb="FFC00000"/>
        <rFont val="微软雅黑"/>
        <charset val="134"/>
      </rPr>
      <t>13周</t>
    </r>
    <r>
      <rPr>
        <sz val="11"/>
        <color theme="1"/>
        <rFont val="微软雅黑"/>
        <charset val="134"/>
      </rPr>
      <t>预测填写区域</t>
    </r>
  </si>
  <si>
    <r>
      <rPr>
        <sz val="11"/>
        <color theme="1"/>
        <rFont val="微软雅黑"/>
        <charset val="134"/>
      </rPr>
      <t>未来</t>
    </r>
    <r>
      <rPr>
        <sz val="11"/>
        <color rgb="FFC00000"/>
        <rFont val="微软雅黑"/>
        <charset val="134"/>
      </rPr>
      <t>半年</t>
    </r>
    <r>
      <rPr>
        <sz val="11"/>
        <color theme="1"/>
        <rFont val="微软雅黑"/>
        <charset val="134"/>
      </rPr>
      <t>预测填写区域</t>
    </r>
  </si>
  <si>
    <r>
      <rPr>
        <sz val="11"/>
        <color rgb="FFC00000"/>
        <rFont val="微软雅黑"/>
        <charset val="134"/>
      </rPr>
      <t>全年BP</t>
    </r>
    <r>
      <rPr>
        <sz val="11"/>
        <color theme="1"/>
        <rFont val="微软雅黑"/>
        <charset val="134"/>
      </rPr>
      <t>总量预测区域</t>
    </r>
  </si>
  <si>
    <t>*月度PSI
公式解析</t>
  </si>
  <si>
    <t>Inventory=月末周的库存数量。</t>
  </si>
  <si>
    <t>DOS 指库存月转天数（按过去一个月的流速，当前库存还能卖多少天），公式为 Iventory除以SO，乘以30。</t>
  </si>
  <si>
    <t>ASP 指过去一个月的销售均价，Average Sell Price，公式为四周的RRP均值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</si>
</sst>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zoomScale="85" zoomScaleNormal="85" workbookViewId="0">
      <selection activeCell="S17" sqref="S17"/>
    </sheetView>
  </sheetViews>
  <sheetFormatPr defaultColWidth="8.60909090909091" defaultRowHeight="16.5"/>
  <cols>
    <col min="1" max="1" width="13.3636363636364" style="3" customWidth="1"/>
    <col min="2" max="2" width="11.5818181818182" style="3" customWidth="1"/>
    <col min="3" max="3" width="8.02727272727273" style="3" customWidth="1"/>
    <col min="4" max="4" width="10.8818181818182" style="3" customWidth="1"/>
    <col min="5" max="5" width="8.60909090909091" style="3"/>
    <col min="6" max="6" width="10.0272727272727" style="3" customWidth="1"/>
    <col min="7" max="7" width="9.10909090909091" style="3"/>
    <col min="8" max="16384" width="8.60909090909091" style="3"/>
  </cols>
  <sheetData>
    <row r="1" ht="31" customHeight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2"/>
    </row>
    <row r="2" s="1" customFormat="1" ht="22" customHeight="1" spans="1:1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1" customFormat="1" ht="22" customHeight="1" spans="1:14">
      <c r="A3" s="6" t="s">
        <v>15</v>
      </c>
      <c r="B3" s="7" t="s">
        <v>16</v>
      </c>
      <c r="C3" s="7">
        <v>999</v>
      </c>
      <c r="D3" s="7">
        <v>999</v>
      </c>
      <c r="E3" s="7">
        <v>949</v>
      </c>
      <c r="F3" s="7">
        <v>949</v>
      </c>
      <c r="G3" s="7">
        <v>999</v>
      </c>
      <c r="H3" s="7">
        <v>999</v>
      </c>
      <c r="I3" s="7">
        <v>949</v>
      </c>
      <c r="J3" s="7">
        <v>949</v>
      </c>
      <c r="K3" s="7">
        <v>949</v>
      </c>
      <c r="L3" s="7">
        <v>949</v>
      </c>
      <c r="M3" s="7">
        <v>949</v>
      </c>
      <c r="N3" s="7">
        <v>949</v>
      </c>
    </row>
    <row r="4" s="2" customFormat="1" ht="22" customHeight="1" spans="1:14">
      <c r="A4" s="8" t="s">
        <v>17</v>
      </c>
      <c r="B4" s="8" t="s">
        <v>18</v>
      </c>
      <c r="C4" s="8">
        <v>2000</v>
      </c>
      <c r="D4" s="8">
        <v>1000</v>
      </c>
      <c r="E4" s="8">
        <v>1000</v>
      </c>
      <c r="F4" s="8">
        <v>1000</v>
      </c>
      <c r="G4" s="8">
        <v>1000</v>
      </c>
      <c r="H4" s="8">
        <v>1000</v>
      </c>
      <c r="I4" s="8">
        <v>1200</v>
      </c>
      <c r="J4" s="8">
        <v>1200</v>
      </c>
      <c r="K4" s="8">
        <v>1200</v>
      </c>
      <c r="L4" s="8">
        <v>1200</v>
      </c>
      <c r="M4" s="8">
        <v>1200</v>
      </c>
      <c r="N4" s="8">
        <v>1200</v>
      </c>
    </row>
    <row r="5" s="2" customFormat="1" ht="22" customHeight="1" spans="1:14">
      <c r="A5" s="8"/>
      <c r="B5" s="8" t="s">
        <v>19</v>
      </c>
      <c r="C5" s="8">
        <v>600</v>
      </c>
      <c r="D5" s="8">
        <v>700</v>
      </c>
      <c r="E5" s="8">
        <v>800</v>
      </c>
      <c r="F5" s="8">
        <v>900</v>
      </c>
      <c r="G5" s="8">
        <v>800</v>
      </c>
      <c r="H5" s="8">
        <v>800</v>
      </c>
      <c r="I5" s="8">
        <v>1000</v>
      </c>
      <c r="J5" s="8">
        <v>1000</v>
      </c>
      <c r="K5" s="8">
        <v>1000</v>
      </c>
      <c r="L5" s="8">
        <v>1000</v>
      </c>
      <c r="M5" s="8">
        <v>1000</v>
      </c>
      <c r="N5" s="8">
        <v>1000</v>
      </c>
    </row>
    <row r="6" s="2" customFormat="1" ht="22" customHeight="1" spans="1:14">
      <c r="A6" s="8"/>
      <c r="B6" s="8" t="s">
        <v>20</v>
      </c>
      <c r="C6" s="8">
        <f>C4-C5</f>
        <v>1400</v>
      </c>
      <c r="D6" s="8">
        <f t="shared" ref="D6:N6" si="0">C6+D4-D5</f>
        <v>1700</v>
      </c>
      <c r="E6" s="8">
        <f t="shared" si="0"/>
        <v>1900</v>
      </c>
      <c r="F6" s="8">
        <f t="shared" si="0"/>
        <v>2000</v>
      </c>
      <c r="G6" s="8">
        <f t="shared" si="0"/>
        <v>2200</v>
      </c>
      <c r="H6" s="8">
        <f t="shared" si="0"/>
        <v>2400</v>
      </c>
      <c r="I6" s="8">
        <f t="shared" si="0"/>
        <v>2600</v>
      </c>
      <c r="J6" s="8">
        <f t="shared" si="0"/>
        <v>2800</v>
      </c>
      <c r="K6" s="8">
        <f t="shared" si="0"/>
        <v>3000</v>
      </c>
      <c r="L6" s="8">
        <f t="shared" si="0"/>
        <v>3200</v>
      </c>
      <c r="M6" s="8">
        <f t="shared" si="0"/>
        <v>3400</v>
      </c>
      <c r="N6" s="8">
        <f t="shared" si="0"/>
        <v>3600</v>
      </c>
    </row>
    <row r="7" s="2" customFormat="1" ht="22" customHeight="1" spans="1:14">
      <c r="A7" s="8"/>
      <c r="B7" s="8" t="s">
        <v>21</v>
      </c>
      <c r="C7" s="9">
        <f t="shared" ref="C7:N7" si="1">C6/C5*7</f>
        <v>16.3333333333333</v>
      </c>
      <c r="D7" s="9">
        <f t="shared" si="1"/>
        <v>17</v>
      </c>
      <c r="E7" s="9">
        <f t="shared" si="1"/>
        <v>16.625</v>
      </c>
      <c r="F7" s="9">
        <f t="shared" si="1"/>
        <v>15.5555555555556</v>
      </c>
      <c r="G7" s="9">
        <f t="shared" si="1"/>
        <v>19.25</v>
      </c>
      <c r="H7" s="9">
        <f t="shared" si="1"/>
        <v>21</v>
      </c>
      <c r="I7" s="9">
        <f t="shared" si="1"/>
        <v>18.2</v>
      </c>
      <c r="J7" s="9">
        <f t="shared" si="1"/>
        <v>19.6</v>
      </c>
      <c r="K7" s="9">
        <f t="shared" si="1"/>
        <v>21</v>
      </c>
      <c r="L7" s="9">
        <f t="shared" si="1"/>
        <v>22.4</v>
      </c>
      <c r="M7" s="9">
        <f t="shared" si="1"/>
        <v>23.8</v>
      </c>
      <c r="N7" s="9">
        <f t="shared" si="1"/>
        <v>25.2</v>
      </c>
    </row>
    <row r="8" customFormat="1" ht="22" customHeight="1" spans="1:14">
      <c r="A8" s="10" t="s">
        <v>22</v>
      </c>
      <c r="B8" s="11" t="s">
        <v>23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3"/>
    </row>
    <row r="9" customFormat="1" ht="22" customHeight="1" spans="1:14">
      <c r="A9" s="10"/>
      <c r="B9" s="11" t="s">
        <v>24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3"/>
    </row>
    <row r="10" customFormat="1" ht="22" customHeight="1" spans="1:14">
      <c r="A10" s="10"/>
      <c r="B10" s="11" t="s">
        <v>25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3"/>
    </row>
    <row r="11" customFormat="1" ht="22" customHeight="1" spans="1:14">
      <c r="A11" s="10"/>
      <c r="B11" s="13" t="s">
        <v>26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4"/>
    </row>
    <row r="12" customFormat="1" ht="22" customHeight="1" spans="1:14">
      <c r="A12" s="15"/>
      <c r="B12" s="16" t="s">
        <v>27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5"/>
    </row>
    <row r="13" ht="22" customHeight="1" spans="1:14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6"/>
    </row>
    <row r="14" ht="22" customHeight="1" spans="1:14">
      <c r="A14" s="6" t="s">
        <v>1</v>
      </c>
      <c r="B14" s="6" t="s">
        <v>2</v>
      </c>
      <c r="C14" s="6" t="s">
        <v>28</v>
      </c>
      <c r="D14" s="6" t="s">
        <v>29</v>
      </c>
      <c r="E14" s="6" t="s">
        <v>30</v>
      </c>
      <c r="F14" s="6" t="s">
        <v>31</v>
      </c>
      <c r="G14" s="6" t="s">
        <v>32</v>
      </c>
      <c r="H14" s="6" t="s">
        <v>33</v>
      </c>
      <c r="I14" s="6" t="s">
        <v>34</v>
      </c>
      <c r="J14" s="6" t="s">
        <v>35</v>
      </c>
      <c r="K14" s="6" t="s">
        <v>36</v>
      </c>
      <c r="L14" s="6" t="s">
        <v>37</v>
      </c>
      <c r="M14" s="6" t="s">
        <v>38</v>
      </c>
      <c r="N14" s="6" t="s">
        <v>39</v>
      </c>
    </row>
    <row r="15" ht="22" customHeight="1" spans="1:14">
      <c r="A15" s="6" t="s">
        <v>15</v>
      </c>
      <c r="B15" s="7" t="s">
        <v>40</v>
      </c>
      <c r="C15" s="7">
        <f>AVERAGE(C3:F3)</f>
        <v>974</v>
      </c>
      <c r="D15" s="7">
        <f>AVERAGE(D3:G3)</f>
        <v>974</v>
      </c>
      <c r="E15" s="7">
        <f>AVERAGE(E3:H3)</f>
        <v>974</v>
      </c>
      <c r="F15" s="7"/>
      <c r="G15" s="7"/>
      <c r="H15" s="7"/>
      <c r="I15" s="7"/>
      <c r="J15" s="7"/>
      <c r="K15" s="7"/>
      <c r="L15" s="7"/>
      <c r="M15" s="7"/>
      <c r="N15" s="7"/>
    </row>
    <row r="16" ht="22" customHeight="1" spans="1:14">
      <c r="A16" s="8" t="s">
        <v>17</v>
      </c>
      <c r="B16" s="8" t="s">
        <v>18</v>
      </c>
      <c r="C16" s="8">
        <f>SUM(C4:F4)</f>
        <v>5000</v>
      </c>
      <c r="D16" s="8">
        <f>SUM(G4:J4)</f>
        <v>4400</v>
      </c>
      <c r="E16" s="8">
        <f>SUM(K4:N4)</f>
        <v>4800</v>
      </c>
      <c r="F16" s="8" t="s">
        <v>41</v>
      </c>
      <c r="G16" s="8"/>
      <c r="H16" s="8"/>
      <c r="I16" s="8" t="s">
        <v>42</v>
      </c>
      <c r="J16" s="8"/>
      <c r="K16" s="8"/>
      <c r="L16" s="27" t="s">
        <v>43</v>
      </c>
      <c r="M16" s="8"/>
      <c r="N16" s="8"/>
    </row>
    <row r="17" ht="22" customHeight="1" spans="1:14">
      <c r="A17" s="8"/>
      <c r="B17" s="8" t="s">
        <v>19</v>
      </c>
      <c r="C17" s="8">
        <f>SUM(C5:F5)</f>
        <v>3000</v>
      </c>
      <c r="D17" s="8">
        <f>SUM(G5:J5)</f>
        <v>3600</v>
      </c>
      <c r="E17" s="8">
        <f>SUM(K5:N5)</f>
        <v>4000</v>
      </c>
      <c r="F17" s="8"/>
      <c r="G17" s="8"/>
      <c r="H17" s="8"/>
      <c r="I17" s="8"/>
      <c r="J17" s="8"/>
      <c r="K17" s="8"/>
      <c r="L17" s="8"/>
      <c r="M17" s="27"/>
      <c r="N17" s="8"/>
    </row>
    <row r="18" ht="22" customHeight="1" spans="1:14">
      <c r="A18" s="8"/>
      <c r="B18" s="8" t="s">
        <v>20</v>
      </c>
      <c r="C18" s="8">
        <f>F6</f>
        <v>2000</v>
      </c>
      <c r="D18" s="8">
        <f>J6</f>
        <v>2800</v>
      </c>
      <c r="E18" s="8">
        <f>N6</f>
        <v>3600</v>
      </c>
      <c r="F18" s="8"/>
      <c r="G18" s="8"/>
      <c r="H18" s="8"/>
      <c r="I18" s="8"/>
      <c r="J18" s="8"/>
      <c r="K18" s="8"/>
      <c r="L18" s="8"/>
      <c r="M18" s="27"/>
      <c r="N18" s="8"/>
    </row>
    <row r="19" ht="22" customHeight="1" spans="1:14">
      <c r="A19" s="8"/>
      <c r="B19" s="8" t="s">
        <v>21</v>
      </c>
      <c r="C19" s="8">
        <f>C18/C17*30</f>
        <v>20</v>
      </c>
      <c r="D19" s="18">
        <f>D18/D17*30</f>
        <v>23.3333333333333</v>
      </c>
      <c r="E19" s="18">
        <f>E18/E17*30</f>
        <v>27</v>
      </c>
      <c r="F19" s="8"/>
      <c r="G19" s="8"/>
      <c r="H19" s="8"/>
      <c r="I19" s="8"/>
      <c r="J19" s="8"/>
      <c r="K19" s="8"/>
      <c r="L19" s="8"/>
      <c r="M19" s="8"/>
      <c r="N19" s="8"/>
    </row>
    <row r="20" ht="22" customHeight="1" spans="1:14">
      <c r="A20" s="19" t="s">
        <v>44</v>
      </c>
      <c r="B20" s="20" t="s">
        <v>23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8"/>
    </row>
    <row r="21" ht="22" customHeight="1" spans="1:14">
      <c r="A21" s="10"/>
      <c r="B21" s="11" t="s">
        <v>24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23"/>
    </row>
    <row r="22" ht="22" customHeight="1" spans="1:14">
      <c r="A22" s="10"/>
      <c r="B22" s="11" t="s">
        <v>45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23"/>
    </row>
    <row r="23" ht="22" customHeight="1" spans="1:14">
      <c r="A23" s="10"/>
      <c r="B23" s="11" t="s">
        <v>46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23"/>
    </row>
    <row r="24" ht="22" customHeight="1" spans="1:14">
      <c r="A24" s="15"/>
      <c r="B24" s="21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9"/>
    </row>
  </sheetData>
  <mergeCells count="19">
    <mergeCell ref="A1:N1"/>
    <mergeCell ref="B8:N8"/>
    <mergeCell ref="B9:N9"/>
    <mergeCell ref="B10:N10"/>
    <mergeCell ref="B11:N11"/>
    <mergeCell ref="B12:N12"/>
    <mergeCell ref="A13:N13"/>
    <mergeCell ref="B20:N20"/>
    <mergeCell ref="B21:N21"/>
    <mergeCell ref="B22:N22"/>
    <mergeCell ref="B23:N23"/>
    <mergeCell ref="B24:N24"/>
    <mergeCell ref="A4:A7"/>
    <mergeCell ref="A8:A12"/>
    <mergeCell ref="A16:A19"/>
    <mergeCell ref="A20:A24"/>
    <mergeCell ref="F16:H19"/>
    <mergeCell ref="I16:K19"/>
    <mergeCell ref="L16:N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PSI管理表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Frank小番薯</dc:creator>
  <cp:lastModifiedBy>钟晴がTo be my own Higgins├</cp:lastModifiedBy>
  <dcterms:created xsi:type="dcterms:W3CDTF">2023-11-19T09:10:00Z</dcterms:created>
  <dcterms:modified xsi:type="dcterms:W3CDTF">2025-03-27T12:42:22Z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FD2A5884E5A94C8F81C6F263ACD19751_11</vt:lpwstr>
  </property>
  <property fmtid="{D5CDD505-2E9C-101B-9397-08002B2CF9AE}" pid="3" name="KSOProductBuildVer">
    <vt:lpwstr>2052-12.1.0.20305</vt:lpwstr>
  </property>
</Properties>
</file>